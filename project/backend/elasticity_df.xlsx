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matrixai.sharepoint.com/sites/QuantMatrixMaster/Shared Documents/General/Client Engagement/Pernod Ricard India/India/2026/DIA Refresh/Forecasting/4. Code Repo/Streamlit/"/>
    </mc:Choice>
  </mc:AlternateContent>
  <xr:revisionPtr revIDLastSave="181" documentId="8_{0EA26E30-6B3F-4B7E-B6A7-04EB7CF540C0}" xr6:coauthVersionLast="47" xr6:coauthVersionMax="47" xr10:uidLastSave="{21C8EC2B-FB98-4DFD-B008-D469C6CF82E4}"/>
  <bookViews>
    <workbookView xWindow="28680" yWindow="-120" windowWidth="29040" windowHeight="15720" xr2:uid="{CBC34279-4A03-4DF8-A4DF-43911F4B0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9" i="1"/>
  <c r="C31" i="1"/>
  <c r="C43" i="1"/>
  <c r="C47" i="1"/>
  <c r="C46" i="1"/>
  <c r="C45" i="1"/>
  <c r="C44" i="1"/>
  <c r="C49" i="1"/>
  <c r="C48" i="1"/>
  <c r="C38" i="1"/>
  <c r="C39" i="1"/>
  <c r="C40" i="1"/>
  <c r="C41" i="1"/>
  <c r="C42" i="1"/>
  <c r="C37" i="1"/>
  <c r="C17" i="1"/>
  <c r="C34" i="1"/>
  <c r="C25" i="1"/>
  <c r="C32" i="1"/>
  <c r="C12" i="1"/>
  <c r="C23" i="1"/>
  <c r="C22" i="1"/>
  <c r="C21" i="1"/>
  <c r="C20" i="1"/>
  <c r="C19" i="1"/>
  <c r="C18" i="1"/>
  <c r="C16" i="1"/>
  <c r="C15" i="1"/>
  <c r="C14" i="1"/>
  <c r="C13" i="1"/>
  <c r="C35" i="1"/>
  <c r="C33" i="1"/>
  <c r="C10" i="1"/>
  <c r="C9" i="1"/>
  <c r="C11" i="1"/>
  <c r="C30" i="1"/>
  <c r="C8" i="1"/>
  <c r="C7" i="1"/>
  <c r="C6" i="1"/>
  <c r="C5" i="1"/>
  <c r="C4" i="1"/>
  <c r="C3" i="1"/>
  <c r="C2" i="1"/>
  <c r="C28" i="1"/>
  <c r="C27" i="1"/>
  <c r="C24" i="1"/>
</calcChain>
</file>

<file path=xl/sharedStrings.xml><?xml version="1.0" encoding="utf-8"?>
<sst xmlns="http://schemas.openxmlformats.org/spreadsheetml/2006/main" count="101" uniqueCount="44">
  <si>
    <t>Variable</t>
  </si>
  <si>
    <t>Elasticity</t>
  </si>
  <si>
    <t>Corporate Income</t>
  </si>
  <si>
    <t>Credit card transactions</t>
  </si>
  <si>
    <t>Demand deposits (SCB)</t>
  </si>
  <si>
    <t>International travellers</t>
  </si>
  <si>
    <t>Res_Female representation in corporates</t>
  </si>
  <si>
    <t>Res_Vol_SPBIO/SPIB</t>
  </si>
  <si>
    <t>lag_NIFTY 50</t>
  </si>
  <si>
    <t>lag_Repo Rate</t>
  </si>
  <si>
    <t>Seasonality</t>
  </si>
  <si>
    <t>Trend</t>
  </si>
  <si>
    <t>Domestic Air Traffic</t>
  </si>
  <si>
    <t>GST Collections</t>
  </si>
  <si>
    <t>NIFTY 50</t>
  </si>
  <si>
    <t>Res_Corporate Income</t>
  </si>
  <si>
    <t>Res_Labour force (LDA-35)</t>
  </si>
  <si>
    <t>Res_Vol_SPIB/Prem</t>
  </si>
  <si>
    <t>Res_Credit card transactions</t>
  </si>
  <si>
    <t>Premium</t>
  </si>
  <si>
    <t>Automobile sales</t>
  </si>
  <si>
    <t>Corporate salaries</t>
  </si>
  <si>
    <t>IIP</t>
  </si>
  <si>
    <t>National Highway (km)</t>
  </si>
  <si>
    <t>Repo Rate</t>
  </si>
  <si>
    <t>SIP Contributions to Mutual Funds</t>
  </si>
  <si>
    <t>Urbanization</t>
  </si>
  <si>
    <t>lag_number of Post-Graduates</t>
  </si>
  <si>
    <t>Deluxe</t>
  </si>
  <si>
    <t>2-Wheelers Production</t>
  </si>
  <si>
    <t>Debit card transactions</t>
  </si>
  <si>
    <t>Labour_20-24_Urban</t>
  </si>
  <si>
    <t>PFCE</t>
  </si>
  <si>
    <t>Rainfall (mm)</t>
  </si>
  <si>
    <t>Res_National Highway (km)</t>
  </si>
  <si>
    <t>Res_Value of UPI transactions</t>
  </si>
  <si>
    <t>Res_Vol_Del/Val</t>
  </si>
  <si>
    <t>Yield per Hectare_Foodgrains</t>
  </si>
  <si>
    <t>Segment</t>
  </si>
  <si>
    <t>Old elasticity</t>
  </si>
  <si>
    <t>Scaled beta0</t>
  </si>
  <si>
    <t>Res_Vol_Prem/Del</t>
  </si>
  <si>
    <t>Value</t>
  </si>
  <si>
    <t>Super-premium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</si>
</sst>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0" xfId="0" applyNumberFormat="1"/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A2D3-BAF6-4775-928F-B980A89FC3C2}">
  <dimension ref="A1:E62"/>
  <sheetViews>
    <sheetView tabSelected="1" workbookViewId="0">
      <selection activeCell="B13" sqref="B13"/>
    </sheetView>
  </sheetViews>
  <sheetFormatPr defaultRowHeight="14.4" x14ac:dyDescent="0.3"/>
  <cols>
    <col min="1" max="1" width="14.44140625" bestFit="1" customWidth="1"/>
    <col min="2" max="2" width="34.44140625" bestFit="1" customWidth="1"/>
    <col min="4" max="4" width="12.6640625" customWidth="1"/>
    <col min="5" max="5" width="12" bestFit="1" customWidth="1"/>
  </cols>
  <sheetData>
    <row r="1" spans="1:5" x14ac:dyDescent="0.3">
      <c r="A1" t="s">
        <v>38</v>
      </c>
      <c r="B1" t="s">
        <v>0</v>
      </c>
      <c r="C1" t="s">
        <v>1</v>
      </c>
      <c r="D1" t="s">
        <v>39</v>
      </c>
      <c r="E1" t="s">
        <v>40</v>
      </c>
    </row>
    <row r="2" spans="1:5" x14ac:dyDescent="0.3">
      <c r="A2" t="s">
        <v>43</v>
      </c>
      <c r="B2" t="s">
        <v>2</v>
      </c>
      <c r="C2" s="5">
        <f>D2/(1.2*1.4)</f>
        <v>0.35089285714285717</v>
      </c>
      <c r="D2" s="4">
        <v>0.58950000000000002</v>
      </c>
      <c r="E2" s="4">
        <v>70845.693650821398</v>
      </c>
    </row>
    <row r="3" spans="1:5" x14ac:dyDescent="0.3">
      <c r="A3" t="s">
        <v>43</v>
      </c>
      <c r="B3" t="s">
        <v>3</v>
      </c>
      <c r="C3" s="5">
        <f>D3*1.1</f>
        <v>0.13618</v>
      </c>
      <c r="D3" s="4">
        <v>0.12379999999999999</v>
      </c>
      <c r="E3" s="4">
        <v>70845.693650821398</v>
      </c>
    </row>
    <row r="4" spans="1:5" x14ac:dyDescent="0.3">
      <c r="A4" t="s">
        <v>43</v>
      </c>
      <c r="B4" t="s">
        <v>4</v>
      </c>
      <c r="C4" s="5">
        <f>D4/(1.2*1.5)</f>
        <v>0.25827777777777777</v>
      </c>
      <c r="D4" s="4">
        <v>0.46489999999999998</v>
      </c>
      <c r="E4" s="4">
        <v>70845.693650821398</v>
      </c>
    </row>
    <row r="5" spans="1:5" x14ac:dyDescent="0.3">
      <c r="A5" t="s">
        <v>43</v>
      </c>
      <c r="B5" t="s">
        <v>5</v>
      </c>
      <c r="C5" s="5">
        <f>D5/(1.2*1.5)</f>
        <v>0.11677777777777779</v>
      </c>
      <c r="D5" s="4">
        <v>0.2102</v>
      </c>
      <c r="E5" s="4">
        <v>70845.693650821398</v>
      </c>
    </row>
    <row r="6" spans="1:5" x14ac:dyDescent="0.3">
      <c r="A6" t="s">
        <v>43</v>
      </c>
      <c r="B6" t="s">
        <v>6</v>
      </c>
      <c r="C6" s="5">
        <f>D6/12</f>
        <v>0.58482500000000004</v>
      </c>
      <c r="D6" s="4">
        <v>7.0179</v>
      </c>
      <c r="E6" s="4">
        <v>70845.693650821398</v>
      </c>
    </row>
    <row r="7" spans="1:5" x14ac:dyDescent="0.3">
      <c r="A7" t="s">
        <v>43</v>
      </c>
      <c r="B7" t="s">
        <v>7</v>
      </c>
      <c r="C7" s="5">
        <f>D7/(1.2*2)</f>
        <v>0.28075</v>
      </c>
      <c r="D7" s="4">
        <v>0.67379999999999995</v>
      </c>
      <c r="E7" s="4">
        <v>70845.693650821398</v>
      </c>
    </row>
    <row r="8" spans="1:5" x14ac:dyDescent="0.3">
      <c r="A8" t="s">
        <v>43</v>
      </c>
      <c r="B8" t="s">
        <v>8</v>
      </c>
      <c r="C8" s="5">
        <f>D8*1.1</f>
        <v>0.35563</v>
      </c>
      <c r="D8" s="4">
        <v>0.32329999999999998</v>
      </c>
      <c r="E8" s="4">
        <v>70845.693650821398</v>
      </c>
    </row>
    <row r="9" spans="1:5" x14ac:dyDescent="0.3">
      <c r="A9" t="s">
        <v>43</v>
      </c>
      <c r="B9" t="s">
        <v>9</v>
      </c>
      <c r="C9" s="5">
        <f>D9*1.1</f>
        <v>-0.41184000000000004</v>
      </c>
      <c r="D9" s="4">
        <v>-0.37440000000000001</v>
      </c>
      <c r="E9" s="4">
        <v>70845.693650821398</v>
      </c>
    </row>
    <row r="10" spans="1:5" x14ac:dyDescent="0.3">
      <c r="A10" t="s">
        <v>43</v>
      </c>
      <c r="B10" t="s">
        <v>10</v>
      </c>
      <c r="C10" s="5">
        <f>D10/1.2</f>
        <v>0.68791666666666673</v>
      </c>
      <c r="D10" s="4">
        <v>0.82550000000000001</v>
      </c>
      <c r="E10" s="4">
        <v>70845.693650821398</v>
      </c>
    </row>
    <row r="11" spans="1:5" x14ac:dyDescent="0.3">
      <c r="A11" t="s">
        <v>43</v>
      </c>
      <c r="B11" t="s">
        <v>11</v>
      </c>
      <c r="C11" s="5">
        <f>D11/1.2</f>
        <v>8.3333333333333344E-5</v>
      </c>
      <c r="D11" s="4">
        <v>1E-4</v>
      </c>
      <c r="E11" s="4">
        <v>70845.693650821398</v>
      </c>
    </row>
    <row r="12" spans="1:5" x14ac:dyDescent="0.3">
      <c r="A12" t="s">
        <v>19</v>
      </c>
      <c r="B12" t="s">
        <v>4</v>
      </c>
      <c r="C12" s="2">
        <f>D12/(1.5*1.1)</f>
        <v>0.18333333333333332</v>
      </c>
      <c r="D12" s="4">
        <v>0.30249999999999999</v>
      </c>
      <c r="E12" s="4">
        <v>505329.08822867501</v>
      </c>
    </row>
    <row r="13" spans="1:5" x14ac:dyDescent="0.3">
      <c r="A13" t="s">
        <v>19</v>
      </c>
      <c r="B13" t="s">
        <v>12</v>
      </c>
      <c r="C13" s="2">
        <f>D13</f>
        <v>6.6600000000000006E-2</v>
      </c>
      <c r="D13" s="4">
        <v>6.6600000000000006E-2</v>
      </c>
      <c r="E13" s="4">
        <v>505329.08822867501</v>
      </c>
    </row>
    <row r="14" spans="1:5" x14ac:dyDescent="0.3">
      <c r="A14" t="s">
        <v>19</v>
      </c>
      <c r="B14" t="s">
        <v>13</v>
      </c>
      <c r="C14" s="2">
        <f>D14/1.4</f>
        <v>0.25628571428571428</v>
      </c>
      <c r="D14" s="4">
        <v>0.35880000000000001</v>
      </c>
      <c r="E14" s="4">
        <v>505329.08822867501</v>
      </c>
    </row>
    <row r="15" spans="1:5" x14ac:dyDescent="0.3">
      <c r="A15" t="s">
        <v>19</v>
      </c>
      <c r="B15" t="s">
        <v>14</v>
      </c>
      <c r="C15" s="2">
        <f>D15</f>
        <v>1.89E-2</v>
      </c>
      <c r="D15" s="4">
        <v>1.89E-2</v>
      </c>
      <c r="E15" s="4">
        <v>505329.08822867501</v>
      </c>
    </row>
    <row r="16" spans="1:5" x14ac:dyDescent="0.3">
      <c r="A16" t="s">
        <v>19</v>
      </c>
      <c r="B16" t="s">
        <v>15</v>
      </c>
      <c r="C16" s="2">
        <f>D16/(1.5*1.5)</f>
        <v>0.20626666666666668</v>
      </c>
      <c r="D16" s="4">
        <v>0.46410000000000001</v>
      </c>
      <c r="E16" s="4">
        <v>505329.08822867501</v>
      </c>
    </row>
    <row r="17" spans="1:5" x14ac:dyDescent="0.3">
      <c r="A17" t="s">
        <v>19</v>
      </c>
      <c r="B17" t="s">
        <v>6</v>
      </c>
      <c r="C17" s="2">
        <f>D17/(1.5*3)</f>
        <v>0.51202222222222227</v>
      </c>
      <c r="D17" s="4">
        <v>2.3041</v>
      </c>
      <c r="E17" s="4">
        <v>505329.08822867501</v>
      </c>
    </row>
    <row r="18" spans="1:5" x14ac:dyDescent="0.3">
      <c r="A18" t="s">
        <v>19</v>
      </c>
      <c r="B18" t="s">
        <v>16</v>
      </c>
      <c r="C18" s="2">
        <f>D18/(1.2)</f>
        <v>9.7166666666666665E-2</v>
      </c>
      <c r="D18" s="4">
        <v>0.1166</v>
      </c>
      <c r="E18" s="4">
        <v>505329.08822867501</v>
      </c>
    </row>
    <row r="19" spans="1:5" x14ac:dyDescent="0.3">
      <c r="A19" t="s">
        <v>19</v>
      </c>
      <c r="B19" t="s">
        <v>17</v>
      </c>
      <c r="C19" s="2">
        <f t="shared" ref="C19:C23" si="0">D19/1.5</f>
        <v>0.41293333333333332</v>
      </c>
      <c r="D19" s="4">
        <v>0.61939999999999995</v>
      </c>
      <c r="E19" s="4">
        <v>505329.08822867501</v>
      </c>
    </row>
    <row r="20" spans="1:5" x14ac:dyDescent="0.3">
      <c r="A20" t="s">
        <v>19</v>
      </c>
      <c r="B20" t="s">
        <v>9</v>
      </c>
      <c r="C20" s="2">
        <f>D20*1.2</f>
        <v>-5.7719999999999994E-2</v>
      </c>
      <c r="D20" s="4">
        <v>-4.8099999999999997E-2</v>
      </c>
      <c r="E20" s="4">
        <v>505329.08822867501</v>
      </c>
    </row>
    <row r="21" spans="1:5" x14ac:dyDescent="0.3">
      <c r="A21" t="s">
        <v>19</v>
      </c>
      <c r="B21" t="s">
        <v>18</v>
      </c>
      <c r="C21" s="2">
        <f>D21/(1.5*2)</f>
        <v>0.12923333333333334</v>
      </c>
      <c r="D21" s="4">
        <v>0.38769999999999999</v>
      </c>
      <c r="E21" s="4">
        <v>505329.08822867501</v>
      </c>
    </row>
    <row r="22" spans="1:5" x14ac:dyDescent="0.3">
      <c r="A22" t="s">
        <v>19</v>
      </c>
      <c r="B22" t="s">
        <v>10</v>
      </c>
      <c r="C22" s="2">
        <f t="shared" si="0"/>
        <v>0.7075999999999999</v>
      </c>
      <c r="D22" s="4">
        <v>1.0613999999999999</v>
      </c>
      <c r="E22" s="4">
        <v>505329.08822867501</v>
      </c>
    </row>
    <row r="23" spans="1:5" x14ac:dyDescent="0.3">
      <c r="A23" t="s">
        <v>19</v>
      </c>
      <c r="B23" t="s">
        <v>11</v>
      </c>
      <c r="C23" s="2">
        <f t="shared" si="0"/>
        <v>0.15273333333333333</v>
      </c>
      <c r="D23" s="4">
        <v>0.2291</v>
      </c>
      <c r="E23" s="4">
        <v>505329.08822867501</v>
      </c>
    </row>
    <row r="24" spans="1:5" x14ac:dyDescent="0.3">
      <c r="A24" s="1" t="s">
        <v>28</v>
      </c>
      <c r="B24" t="s">
        <v>20</v>
      </c>
      <c r="C24" s="2">
        <f>D24/1.2</f>
        <v>5.3666666666666668E-2</v>
      </c>
      <c r="D24" s="4">
        <v>6.4399999999999999E-2</v>
      </c>
      <c r="E24" s="4">
        <v>1210497.97943433</v>
      </c>
    </row>
    <row r="25" spans="1:5" x14ac:dyDescent="0.3">
      <c r="A25" s="1" t="s">
        <v>28</v>
      </c>
      <c r="B25" t="s">
        <v>21</v>
      </c>
      <c r="C25" s="2">
        <f>D25</f>
        <v>7.8700000000000006E-2</v>
      </c>
      <c r="D25" s="4">
        <v>7.8700000000000006E-2</v>
      </c>
      <c r="E25" s="4">
        <v>1210497.97943433</v>
      </c>
    </row>
    <row r="26" spans="1:5" x14ac:dyDescent="0.3">
      <c r="A26" s="1" t="s">
        <v>28</v>
      </c>
      <c r="B26" t="s">
        <v>3</v>
      </c>
      <c r="C26" s="2">
        <f>D26</f>
        <v>9.3899999999999997E-2</v>
      </c>
      <c r="D26" s="4">
        <v>9.3899999999999997E-2</v>
      </c>
      <c r="E26" s="4">
        <v>1210497.97943433</v>
      </c>
    </row>
    <row r="27" spans="1:5" x14ac:dyDescent="0.3">
      <c r="A27" s="1" t="s">
        <v>28</v>
      </c>
      <c r="B27" t="s">
        <v>12</v>
      </c>
      <c r="C27" s="2">
        <f>D27/1</f>
        <v>3.49E-2</v>
      </c>
      <c r="D27" s="4">
        <v>3.49E-2</v>
      </c>
      <c r="E27" s="4">
        <v>1210497.97943433</v>
      </c>
    </row>
    <row r="28" spans="1:5" x14ac:dyDescent="0.3">
      <c r="A28" s="1" t="s">
        <v>28</v>
      </c>
      <c r="B28" t="s">
        <v>22</v>
      </c>
      <c r="C28" s="2">
        <f>D28/1.2</f>
        <v>6.25E-2</v>
      </c>
      <c r="D28" s="4">
        <v>7.4999999999999997E-2</v>
      </c>
      <c r="E28" s="4">
        <v>1210497.97943433</v>
      </c>
    </row>
    <row r="29" spans="1:5" x14ac:dyDescent="0.3">
      <c r="A29" s="1" t="s">
        <v>28</v>
      </c>
      <c r="B29" t="s">
        <v>23</v>
      </c>
      <c r="C29" s="2">
        <f>D29/(2)</f>
        <v>0.48599999999999999</v>
      </c>
      <c r="D29" s="4">
        <v>0.97199999999999998</v>
      </c>
      <c r="E29" s="4">
        <v>1210497.97943433</v>
      </c>
    </row>
    <row r="30" spans="1:5" x14ac:dyDescent="0.3">
      <c r="A30" s="1" t="s">
        <v>28</v>
      </c>
      <c r="B30" t="s">
        <v>24</v>
      </c>
      <c r="C30" s="2">
        <f>D30/1.2</f>
        <v>-1.5916666666666666E-2</v>
      </c>
      <c r="D30" s="4">
        <v>-1.9099999999999999E-2</v>
      </c>
      <c r="E30" s="4">
        <v>1210497.97943433</v>
      </c>
    </row>
    <row r="31" spans="1:5" x14ac:dyDescent="0.3">
      <c r="A31" s="1" t="s">
        <v>28</v>
      </c>
      <c r="B31" t="s">
        <v>41</v>
      </c>
      <c r="C31" s="2">
        <f>D31/1.3</f>
        <v>0.38769230769230767</v>
      </c>
      <c r="D31" s="4">
        <v>0.504</v>
      </c>
      <c r="E31" s="4">
        <v>1210497.97943433</v>
      </c>
    </row>
    <row r="32" spans="1:5" x14ac:dyDescent="0.3">
      <c r="A32" s="1" t="s">
        <v>28</v>
      </c>
      <c r="B32" t="s">
        <v>25</v>
      </c>
      <c r="C32" s="2">
        <f>D32</f>
        <v>1.83E-2</v>
      </c>
      <c r="D32" s="4">
        <v>1.83E-2</v>
      </c>
      <c r="E32" s="4">
        <v>1210497.97943433</v>
      </c>
    </row>
    <row r="33" spans="1:5" x14ac:dyDescent="0.3">
      <c r="A33" s="1" t="s">
        <v>28</v>
      </c>
      <c r="B33" t="s">
        <v>26</v>
      </c>
      <c r="C33" s="2">
        <f>D33/1.2</f>
        <v>0.8078333333333334</v>
      </c>
      <c r="D33" s="4">
        <v>0.96940000000000004</v>
      </c>
      <c r="E33" s="4">
        <v>1210497.97943433</v>
      </c>
    </row>
    <row r="34" spans="1:5" x14ac:dyDescent="0.3">
      <c r="A34" s="1" t="s">
        <v>28</v>
      </c>
      <c r="B34" t="s">
        <v>27</v>
      </c>
      <c r="C34" s="2">
        <f>D34/8</f>
        <v>8.6749999999999994E-2</v>
      </c>
      <c r="D34" s="4">
        <v>0.69399999999999995</v>
      </c>
      <c r="E34" s="4">
        <v>1210497.97943433</v>
      </c>
    </row>
    <row r="35" spans="1:5" x14ac:dyDescent="0.3">
      <c r="A35" s="1" t="s">
        <v>28</v>
      </c>
      <c r="B35" t="s">
        <v>10</v>
      </c>
      <c r="C35" s="2">
        <f>D35/2.5</f>
        <v>0.4178</v>
      </c>
      <c r="D35" s="4">
        <v>1.0445</v>
      </c>
      <c r="E35" s="4">
        <v>1210497.97943433</v>
      </c>
    </row>
    <row r="36" spans="1:5" x14ac:dyDescent="0.3">
      <c r="A36" s="1" t="s">
        <v>28</v>
      </c>
      <c r="B36" t="s">
        <v>11</v>
      </c>
      <c r="C36" s="2">
        <v>0</v>
      </c>
      <c r="D36" s="4">
        <v>-3.6299999999999999E-2</v>
      </c>
      <c r="E36" s="4">
        <v>1210497.97943433</v>
      </c>
    </row>
    <row r="37" spans="1:5" x14ac:dyDescent="0.3">
      <c r="A37" s="1" t="s">
        <v>42</v>
      </c>
      <c r="B37" t="s">
        <v>29</v>
      </c>
      <c r="C37" s="2">
        <f>D37/2</f>
        <v>7.2700000000000001E-2</v>
      </c>
      <c r="D37" s="4">
        <v>0.1454</v>
      </c>
      <c r="E37" s="4">
        <v>3733429.00789453</v>
      </c>
    </row>
    <row r="38" spans="1:5" x14ac:dyDescent="0.3">
      <c r="A38" s="1" t="s">
        <v>42</v>
      </c>
      <c r="B38" t="s">
        <v>30</v>
      </c>
      <c r="C38" s="2">
        <f t="shared" ref="C38:C42" si="1">D38/2</f>
        <v>2.215E-2</v>
      </c>
      <c r="D38" s="4">
        <v>4.4299999999999999E-2</v>
      </c>
      <c r="E38" s="4">
        <v>3733429.00789453</v>
      </c>
    </row>
    <row r="39" spans="1:5" x14ac:dyDescent="0.3">
      <c r="A39" s="1" t="s">
        <v>42</v>
      </c>
      <c r="B39" t="s">
        <v>22</v>
      </c>
      <c r="C39" s="2">
        <f t="shared" si="1"/>
        <v>8.3449999999999996E-2</v>
      </c>
      <c r="D39" s="4">
        <v>0.16689999999999999</v>
      </c>
      <c r="E39" s="4">
        <v>3733429.00789453</v>
      </c>
    </row>
    <row r="40" spans="1:5" x14ac:dyDescent="0.3">
      <c r="A40" s="1" t="s">
        <v>42</v>
      </c>
      <c r="B40" t="s">
        <v>31</v>
      </c>
      <c r="C40" s="2">
        <f t="shared" si="1"/>
        <v>0.36149999999999999</v>
      </c>
      <c r="D40" s="4">
        <v>0.72299999999999998</v>
      </c>
      <c r="E40" s="4">
        <v>3733429.00789453</v>
      </c>
    </row>
    <row r="41" spans="1:5" x14ac:dyDescent="0.3">
      <c r="A41" s="1" t="s">
        <v>42</v>
      </c>
      <c r="B41" t="s">
        <v>32</v>
      </c>
      <c r="C41" s="2">
        <f t="shared" si="1"/>
        <v>8.9399999999999993E-2</v>
      </c>
      <c r="D41" s="4">
        <v>0.17879999999999999</v>
      </c>
      <c r="E41" s="4">
        <v>3733429.00789453</v>
      </c>
    </row>
    <row r="42" spans="1:5" x14ac:dyDescent="0.3">
      <c r="A42" s="1" t="s">
        <v>42</v>
      </c>
      <c r="B42" t="s">
        <v>33</v>
      </c>
      <c r="C42" s="2">
        <f t="shared" si="1"/>
        <v>0.12085</v>
      </c>
      <c r="D42" s="4">
        <v>0.2417</v>
      </c>
      <c r="E42" s="4">
        <v>3733429.00789453</v>
      </c>
    </row>
    <row r="43" spans="1:5" x14ac:dyDescent="0.3">
      <c r="A43" s="1" t="s">
        <v>42</v>
      </c>
      <c r="B43" t="s">
        <v>34</v>
      </c>
      <c r="C43" s="2">
        <f>D43/(2*2.4)</f>
        <v>0.47702083333333334</v>
      </c>
      <c r="D43" s="4">
        <v>2.2896999999999998</v>
      </c>
      <c r="E43" s="4">
        <v>3733429.00789453</v>
      </c>
    </row>
    <row r="44" spans="1:5" x14ac:dyDescent="0.3">
      <c r="A44" s="1" t="s">
        <v>42</v>
      </c>
      <c r="B44" t="s">
        <v>35</v>
      </c>
      <c r="C44" s="2">
        <f>D44/(2*2.2)</f>
        <v>8.9818181818181811E-2</v>
      </c>
      <c r="D44" s="4">
        <v>0.3952</v>
      </c>
      <c r="E44" s="4">
        <v>3733429.00789453</v>
      </c>
    </row>
    <row r="45" spans="1:5" x14ac:dyDescent="0.3">
      <c r="A45" s="1" t="s">
        <v>42</v>
      </c>
      <c r="B45" t="s">
        <v>36</v>
      </c>
      <c r="C45" s="2">
        <f>D45/(2*2)</f>
        <v>0.17762500000000001</v>
      </c>
      <c r="D45" s="4">
        <v>0.71050000000000002</v>
      </c>
      <c r="E45" s="4">
        <v>3733429.00789453</v>
      </c>
    </row>
    <row r="46" spans="1:5" x14ac:dyDescent="0.3">
      <c r="A46" s="1" t="s">
        <v>42</v>
      </c>
      <c r="B46" t="s">
        <v>26</v>
      </c>
      <c r="C46" s="2">
        <f>D46/(2.2)</f>
        <v>0.9093181818181818</v>
      </c>
      <c r="D46" s="4">
        <v>2.0005000000000002</v>
      </c>
      <c r="E46" s="4">
        <v>3733429.00789453</v>
      </c>
    </row>
    <row r="47" spans="1:5" x14ac:dyDescent="0.3">
      <c r="A47" s="1" t="s">
        <v>42</v>
      </c>
      <c r="B47" t="s">
        <v>37</v>
      </c>
      <c r="C47" s="2">
        <f>D47/1.6</f>
        <v>0.36343749999999997</v>
      </c>
      <c r="D47" s="4">
        <v>0.58150000000000002</v>
      </c>
      <c r="E47" s="4">
        <v>3733429.00789453</v>
      </c>
    </row>
    <row r="48" spans="1:5" x14ac:dyDescent="0.3">
      <c r="A48" s="1" t="s">
        <v>42</v>
      </c>
      <c r="B48" t="s">
        <v>10</v>
      </c>
      <c r="C48" s="2">
        <f>D48/2</f>
        <v>0.48144999999999999</v>
      </c>
      <c r="D48" s="4">
        <v>0.96289999999999998</v>
      </c>
      <c r="E48" s="4">
        <v>3733429.00789453</v>
      </c>
    </row>
    <row r="49" spans="1:5" x14ac:dyDescent="0.3">
      <c r="A49" s="1" t="s">
        <v>42</v>
      </c>
      <c r="B49" t="s">
        <v>11</v>
      </c>
      <c r="C49" s="2">
        <f>D49/2</f>
        <v>2.2800000000000001E-2</v>
      </c>
      <c r="D49" s="4">
        <v>4.5600000000000002E-2</v>
      </c>
      <c r="E49" s="4">
        <v>3733429.00789453</v>
      </c>
    </row>
    <row r="50" spans="1:5" x14ac:dyDescent="0.3">
      <c r="A50" s="1"/>
      <c r="C50" s="2"/>
      <c r="D50" s="3"/>
    </row>
    <row r="51" spans="1:5" x14ac:dyDescent="0.3">
      <c r="A51" s="1"/>
      <c r="C51" s="2"/>
      <c r="D51" s="3"/>
    </row>
    <row r="52" spans="1:5" x14ac:dyDescent="0.3">
      <c r="A52" s="1"/>
      <c r="C52" s="2"/>
      <c r="D52" s="3"/>
    </row>
    <row r="53" spans="1:5" x14ac:dyDescent="0.3">
      <c r="A53" s="1"/>
      <c r="C53" s="2"/>
      <c r="D53" s="3"/>
    </row>
    <row r="54" spans="1:5" x14ac:dyDescent="0.3">
      <c r="A54" s="1"/>
      <c r="C54" s="2"/>
      <c r="D54" s="3"/>
    </row>
    <row r="55" spans="1:5" x14ac:dyDescent="0.3">
      <c r="A55" s="1"/>
      <c r="C55" s="2"/>
      <c r="D55" s="3"/>
    </row>
    <row r="56" spans="1:5" x14ac:dyDescent="0.3">
      <c r="A56" s="1"/>
      <c r="C56" s="2"/>
      <c r="D56" s="3"/>
    </row>
    <row r="57" spans="1:5" x14ac:dyDescent="0.3">
      <c r="A57" s="1"/>
      <c r="C57" s="2"/>
      <c r="D57" s="3"/>
    </row>
    <row r="58" spans="1:5" x14ac:dyDescent="0.3">
      <c r="A58" s="1"/>
      <c r="C58" s="2"/>
      <c r="D58" s="3"/>
    </row>
    <row r="59" spans="1:5" x14ac:dyDescent="0.3">
      <c r="A59" s="1"/>
      <c r="C59" s="2"/>
      <c r="D59" s="3"/>
    </row>
    <row r="60" spans="1:5" x14ac:dyDescent="0.3">
      <c r="A60" s="1"/>
      <c r="C60" s="2"/>
      <c r="D60" s="3"/>
    </row>
    <row r="61" spans="1:5" x14ac:dyDescent="0.3">
      <c r="A61" s="1"/>
      <c r="C61" s="2"/>
      <c r="D61" s="3"/>
    </row>
    <row r="62" spans="1:5" x14ac:dyDescent="0.3">
      <c r="A62" s="1"/>
      <c r="C62" s="2"/>
      <c r="D6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A9E31609-353C-470C-A595-F6CEFEF984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26D968-FEB2-4D88-A589-110D0CC96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39b7f-2d32-491e-906d-de495e876e17"/>
    <ds:schemaRef ds:uri="bc752ab6-5a34-4bbb-a36d-488c397d8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A773D8-D71E-48BD-8196-D2B3802AD61F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Wagh</dc:creator>
  <cp:lastModifiedBy>Rutuja Wagh</cp:lastModifiedBy>
  <dcterms:created xsi:type="dcterms:W3CDTF">2026-02-05T11:46:43Z</dcterms:created>
  <dcterms:modified xsi:type="dcterms:W3CDTF">2026-03-30T06:50:40Z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  <property fmtid="{D5CDD505-2E9C-101B-9397-08002B2CF9AE}" pid="3" name="MediaServiceImageTags">
    <vt:lpwstr/>
  </property>
</Properties>
</file>